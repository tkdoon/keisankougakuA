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asu\Desktop\大学3年\keisankougakuA\5\"/>
    </mc:Choice>
  </mc:AlternateContent>
  <xr:revisionPtr revIDLastSave="0" documentId="13_ncr:1_{5E86E6C0-14E0-41C2-8768-BA22DFE798E0}" xr6:coauthVersionLast="45" xr6:coauthVersionMax="45" xr10:uidLastSave="{00000000-0000-0000-0000-000000000000}"/>
  <bookViews>
    <workbookView xWindow="14520" yWindow="1040" windowWidth="9300" windowHeight="8220" xr2:uid="{12431EF5-B397-4610-93BD-E656904C39E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" l="1"/>
  <c r="J18" i="1"/>
  <c r="J17" i="1"/>
  <c r="J16" i="1"/>
  <c r="H18" i="1" l="1"/>
  <c r="G18" i="1"/>
</calcChain>
</file>

<file path=xl/sharedStrings.xml><?xml version="1.0" encoding="utf-8"?>
<sst xmlns="http://schemas.openxmlformats.org/spreadsheetml/2006/main" count="41" uniqueCount="41">
  <si>
    <t>δ</t>
    <phoneticPr fontId="1"/>
  </si>
  <si>
    <t>F</t>
    <phoneticPr fontId="1"/>
  </si>
  <si>
    <t>v1</t>
    <phoneticPr fontId="1"/>
  </si>
  <si>
    <t>v2</t>
    <phoneticPr fontId="1"/>
  </si>
  <si>
    <t>v3</t>
    <phoneticPr fontId="1"/>
  </si>
  <si>
    <t>v4</t>
    <phoneticPr fontId="1"/>
  </si>
  <si>
    <t>v5</t>
    <phoneticPr fontId="1"/>
  </si>
  <si>
    <t>v6</t>
    <phoneticPr fontId="1"/>
  </si>
  <si>
    <t>Q1</t>
    <phoneticPr fontId="1"/>
  </si>
  <si>
    <t>Q2</t>
    <phoneticPr fontId="1"/>
  </si>
  <si>
    <t>Q3</t>
    <phoneticPr fontId="1"/>
  </si>
  <si>
    <t>Q4</t>
    <phoneticPr fontId="1"/>
  </si>
  <si>
    <t>Q5</t>
    <phoneticPr fontId="1"/>
  </si>
  <si>
    <t>Q6</t>
    <phoneticPr fontId="1"/>
  </si>
  <si>
    <t>U_input</t>
    <phoneticPr fontId="1"/>
  </si>
  <si>
    <t>F_input</t>
    <phoneticPr fontId="1"/>
  </si>
  <si>
    <t>U_output</t>
    <phoneticPr fontId="1"/>
  </si>
  <si>
    <t>F_output</t>
    <phoneticPr fontId="1"/>
  </si>
  <si>
    <t>MVP</t>
    <phoneticPr fontId="1"/>
  </si>
  <si>
    <t>y[mm]</t>
    <phoneticPr fontId="1"/>
  </si>
  <si>
    <t>x[mm]</t>
    <phoneticPr fontId="1"/>
  </si>
  <si>
    <t>E[MPa]</t>
    <phoneticPr fontId="1"/>
  </si>
  <si>
    <t>nu</t>
    <phoneticPr fontId="1"/>
  </si>
  <si>
    <t>t[mm]</t>
    <phoneticPr fontId="1"/>
  </si>
  <si>
    <t>u1</t>
    <phoneticPr fontId="1"/>
  </si>
  <si>
    <t>u2</t>
    <phoneticPr fontId="1"/>
  </si>
  <si>
    <t>u3</t>
    <phoneticPr fontId="1"/>
  </si>
  <si>
    <t>u4</t>
    <phoneticPr fontId="1"/>
  </si>
  <si>
    <t>u5</t>
    <phoneticPr fontId="1"/>
  </si>
  <si>
    <t>u6</t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</si>
  <si>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</si>
  <si>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</si>
  <si>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</si>
  <si>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</si>
  <si>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>P5</t>
    <phoneticPr fontId="1"/>
  </si>
  <si>
    <t>P6</t>
    <phoneticPr fontId="1"/>
  </si>
  <si>
    <t>平向君</t>
    <rPh sb="0" eb="2">
      <t>ヒラムカイ</t>
    </rPh>
    <rPh sb="2" eb="3">
      <t>クン</t>
    </rPh>
    <phoneticPr fontId="1"/>
  </si>
  <si>
    <t>平松君</t>
    <rPh sb="0" eb="2">
      <t>ヒラマツ</t>
    </rPh>
    <rPh sb="2" eb="3">
      <t>クン</t>
    </rPh>
    <phoneticPr fontId="1"/>
  </si>
  <si>
    <t>u</t>
    <phoneticPr fontId="1"/>
  </si>
  <si>
    <t>v</t>
    <phoneticPr fontId="1"/>
  </si>
  <si>
    <t>avg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</si>
</sst>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8</xdr:row>
      <xdr:rowOff>107950</xdr:rowOff>
    </xdr:from>
    <xdr:to>
      <xdr:col>4</xdr:col>
      <xdr:colOff>508000</xdr:colOff>
      <xdr:row>12</xdr:row>
      <xdr:rowOff>31750</xdr:rowOff>
    </xdr:to>
    <xdr:sp macro="circle1_Click" textlink="">
      <xdr:nvSpPr>
        <xdr:cNvPr id="2" name="楕円 1">
          <a:extLst>
            <a:ext uri="{FF2B5EF4-FFF2-40B4-BE49-F238E27FC236}">
              <a16:creationId xmlns:a16="http://schemas.microsoft.com/office/drawing/2014/main" id="{C41AC7B5-1D2A-4F32-A97B-BD6C01AFF653}"/>
            </a:ext>
          </a:extLst>
        </xdr:cNvPr>
        <xdr:cNvSpPr/>
      </xdr:nvSpPr>
      <xdr:spPr>
        <a:xfrm>
          <a:off x="1060450" y="1936750"/>
          <a:ext cx="1428750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/>
            <a:t>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8DFE-EFF5-4D79-9A47-BA02B0D8DB86}">
  <sheetPr codeName="Sheet1"/>
  <dimension ref="A1:M19"/>
  <sheetViews>
    <sheetView tabSelected="1" topLeftCell="D1" zoomScale="71" zoomScaleNormal="115" workbookViewId="0">
      <selection activeCell="K11" sqref="K11"/>
    </sheetView>
  </sheetViews>
  <sheetFormatPr defaultRowHeight="18" x14ac:dyDescent="0.55000000000000004"/>
  <cols>
    <col min="13" max="13" width="16.5" bestFit="1" customWidth="1"/>
  </cols>
  <sheetData>
    <row r="1" spans="1:13" x14ac:dyDescent="0.55000000000000004">
      <c r="B1" t="s">
        <v>20</v>
      </c>
      <c r="C1" t="s">
        <v>19</v>
      </c>
      <c r="F1" t="s">
        <v>0</v>
      </c>
      <c r="G1" t="s">
        <v>1</v>
      </c>
      <c r="J1" t="s">
        <v>14</v>
      </c>
      <c r="K1" t="s">
        <v>15</v>
      </c>
      <c r="L1" t="s">
        <v>16</v>
      </c>
      <c r="M1" t="s">
        <v>17</v>
      </c>
    </row>
    <row r="2" spans="1:13" x14ac:dyDescent="0.55000000000000004">
      <c r="B2">
        <v>0</v>
      </c>
      <c r="C2">
        <v>-10</v>
      </c>
      <c r="E2">
        <v>1</v>
      </c>
      <c r="F2" t="s">
        <v>24</v>
      </c>
      <c r="G2" t="s">
        <v>30</v>
      </c>
      <c r="I2">
        <v>1</v>
      </c>
      <c r="J2">
        <v>0</v>
      </c>
      <c r="K2">
        <v>0</v>
      </c>
      <c r="L2">
        <v>0</v>
      </c>
      <c r="M2" s="1">
        <v>-3440.000000000382</v>
      </c>
    </row>
    <row r="3" spans="1:13" x14ac:dyDescent="0.55000000000000004">
      <c r="B3">
        <v>200</v>
      </c>
      <c r="C3">
        <v>-5</v>
      </c>
      <c r="E3">
        <v>2</v>
      </c>
      <c r="F3" t="s">
        <v>25</v>
      </c>
      <c r="G3" t="s">
        <v>31</v>
      </c>
      <c r="I3">
        <v>4</v>
      </c>
      <c r="J3">
        <v>0</v>
      </c>
      <c r="K3">
        <v>0</v>
      </c>
      <c r="L3">
        <v>4.1489551419034293E-2</v>
      </c>
      <c r="M3" s="1">
        <v>-1.0913936421275139E-11</v>
      </c>
    </row>
    <row r="4" spans="1:13" x14ac:dyDescent="0.55000000000000004">
      <c r="B4">
        <v>0</v>
      </c>
      <c r="C4">
        <v>10</v>
      </c>
      <c r="E4">
        <v>3</v>
      </c>
      <c r="F4" t="s">
        <v>26</v>
      </c>
      <c r="G4" t="s">
        <v>32</v>
      </c>
      <c r="I4">
        <v>7</v>
      </c>
      <c r="J4">
        <v>0</v>
      </c>
      <c r="K4">
        <v>100</v>
      </c>
      <c r="L4">
        <v>6.4286747217996459E-2</v>
      </c>
      <c r="M4" s="1">
        <v>99.999999999989086</v>
      </c>
    </row>
    <row r="5" spans="1:13" x14ac:dyDescent="0.55000000000000004">
      <c r="B5">
        <v>200</v>
      </c>
      <c r="C5">
        <v>5</v>
      </c>
      <c r="E5">
        <v>4</v>
      </c>
      <c r="F5" t="s">
        <v>27</v>
      </c>
      <c r="G5" t="s">
        <v>33</v>
      </c>
      <c r="K5">
        <v>0</v>
      </c>
      <c r="L5">
        <v>0</v>
      </c>
      <c r="M5" s="1">
        <v>3240.0000000003815</v>
      </c>
    </row>
    <row r="6" spans="1:13" x14ac:dyDescent="0.55000000000000004">
      <c r="E6">
        <v>5</v>
      </c>
      <c r="F6" t="s">
        <v>28</v>
      </c>
      <c r="G6" t="s">
        <v>34</v>
      </c>
      <c r="K6">
        <v>0</v>
      </c>
      <c r="L6">
        <v>-1.403568084260981E-2</v>
      </c>
      <c r="M6" s="1">
        <v>1.0913936421275139E-11</v>
      </c>
    </row>
    <row r="7" spans="1:13" x14ac:dyDescent="0.55000000000000004">
      <c r="A7" t="s">
        <v>21</v>
      </c>
      <c r="B7">
        <v>70000</v>
      </c>
      <c r="E7">
        <v>6</v>
      </c>
      <c r="F7" t="s">
        <v>29</v>
      </c>
      <c r="G7" t="s">
        <v>35</v>
      </c>
      <c r="K7">
        <v>100</v>
      </c>
      <c r="L7">
        <v>1.3643704551433652E-2</v>
      </c>
      <c r="M7" s="1">
        <v>100.00000000001273</v>
      </c>
    </row>
    <row r="8" spans="1:13" x14ac:dyDescent="0.55000000000000004">
      <c r="A8" t="s">
        <v>22</v>
      </c>
      <c r="B8">
        <v>0.3</v>
      </c>
      <c r="E8">
        <v>7</v>
      </c>
      <c r="F8" t="s">
        <v>2</v>
      </c>
      <c r="G8" t="s">
        <v>8</v>
      </c>
      <c r="K8">
        <v>0</v>
      </c>
      <c r="L8">
        <v>0</v>
      </c>
      <c r="M8" s="1">
        <v>-379.00000000003092</v>
      </c>
    </row>
    <row r="9" spans="1:13" x14ac:dyDescent="0.55000000000000004">
      <c r="A9" t="s">
        <v>23</v>
      </c>
      <c r="B9">
        <v>1</v>
      </c>
      <c r="E9">
        <v>8</v>
      </c>
      <c r="F9" t="s">
        <v>3</v>
      </c>
      <c r="G9" t="s">
        <v>9</v>
      </c>
      <c r="K9">
        <v>90</v>
      </c>
      <c r="L9">
        <v>0.24216397299213155</v>
      </c>
      <c r="M9" s="1">
        <v>90.000000000014552</v>
      </c>
    </row>
    <row r="10" spans="1:13" x14ac:dyDescent="0.55000000000000004">
      <c r="E10">
        <v>9</v>
      </c>
      <c r="F10" t="s">
        <v>4</v>
      </c>
      <c r="G10" t="s">
        <v>10</v>
      </c>
      <c r="K10">
        <v>89</v>
      </c>
      <c r="L10">
        <v>0.75214029799830506</v>
      </c>
      <c r="M10" s="1">
        <v>89.000000000058208</v>
      </c>
    </row>
    <row r="11" spans="1:13" x14ac:dyDescent="0.55000000000000004">
      <c r="E11">
        <v>10</v>
      </c>
      <c r="F11" t="s">
        <v>5</v>
      </c>
      <c r="G11" t="s">
        <v>11</v>
      </c>
      <c r="K11">
        <v>0</v>
      </c>
      <c r="L11">
        <v>3.7389236665826809E-3</v>
      </c>
      <c r="M11" s="1">
        <v>4.5474735088646412E-13</v>
      </c>
    </row>
    <row r="12" spans="1:13" x14ac:dyDescent="0.55000000000000004">
      <c r="A12" t="s">
        <v>18</v>
      </c>
      <c r="B12" t="s">
        <v>36</v>
      </c>
      <c r="E12">
        <v>11</v>
      </c>
      <c r="F12" t="s">
        <v>6</v>
      </c>
      <c r="G12" t="s">
        <v>12</v>
      </c>
      <c r="K12">
        <v>0</v>
      </c>
      <c r="L12">
        <v>0.23974362482263459</v>
      </c>
      <c r="M12" s="1">
        <v>-1.2050804798491299E-11</v>
      </c>
    </row>
    <row r="13" spans="1:13" x14ac:dyDescent="0.55000000000000004">
      <c r="B13" t="s">
        <v>37</v>
      </c>
      <c r="E13">
        <v>12</v>
      </c>
      <c r="F13" t="s">
        <v>7</v>
      </c>
      <c r="G13" t="s">
        <v>13</v>
      </c>
      <c r="K13">
        <v>200</v>
      </c>
      <c r="L13">
        <v>0.75086207067071642</v>
      </c>
      <c r="M13" s="1">
        <v>200.00000000005821</v>
      </c>
    </row>
    <row r="15" spans="1:13" x14ac:dyDescent="0.55000000000000004">
      <c r="G15" t="s">
        <v>38</v>
      </c>
      <c r="H15" t="s">
        <v>39</v>
      </c>
    </row>
    <row r="16" spans="1:13" x14ac:dyDescent="0.55000000000000004">
      <c r="F16">
        <v>3</v>
      </c>
      <c r="G16">
        <v>4.7363527779155479E-2</v>
      </c>
      <c r="H16">
        <v>0.23804310414391375</v>
      </c>
      <c r="J16">
        <f>(0.039608-0.039415)/0.039608*100</f>
        <v>0.487275297919609</v>
      </c>
    </row>
    <row r="17" spans="6:10" x14ac:dyDescent="0.55000000000000004">
      <c r="F17">
        <v>6</v>
      </c>
      <c r="G17">
        <v>3.0893654055966727E-2</v>
      </c>
      <c r="H17">
        <v>0.23710597093274938</v>
      </c>
      <c r="J17">
        <f>-(9.345899-9.798447)/9.345899*100</f>
        <v>4.8422094011501748</v>
      </c>
    </row>
    <row r="18" spans="6:10" x14ac:dyDescent="0.55000000000000004">
      <c r="F18" t="s">
        <v>40</v>
      </c>
      <c r="G18">
        <f>AVERAGE(G16:G17)</f>
        <v>3.9128590917561101E-2</v>
      </c>
      <c r="H18">
        <f>AVERAGE(H16:H17)</f>
        <v>0.23757453753833158</v>
      </c>
      <c r="J18">
        <f>(0.039608-G18)/0.039608*100</f>
        <v>1.2103844739418705</v>
      </c>
    </row>
    <row r="19" spans="6:10" x14ac:dyDescent="0.55000000000000004">
      <c r="J19">
        <f>(9.345899-H18)/9.345899*100</f>
        <v>97.457980901159615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武田晏幸</dc:creator>
  <cp:lastModifiedBy>武田晏幸</cp:lastModifiedBy>
  <dcterms:created xsi:type="dcterms:W3CDTF">2020-10-08T01:26:33Z</dcterms:created>
  <dcterms:modified xsi:type="dcterms:W3CDTF">2020-12-03T06:31:11Z</dcterms:modified>
</cp:coreProperties>
</file>